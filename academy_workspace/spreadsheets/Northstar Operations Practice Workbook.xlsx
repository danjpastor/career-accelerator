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rders" sheetId="1" r:id="rId4"/>
    <sheet state="visible" name="Customers" sheetId="2" r:id="rId5"/>
    <sheet state="visible" name="Products" sheetId="3" r:id="rId6"/>
    <sheet state="visible" name="Employees" sheetId="4" r:id="rId7"/>
    <sheet state="visible" name="Inventory" sheetId="5" r:id="rId8"/>
    <sheet state="visible" name="Lookup Tables" sheetId="6" r:id="rId9"/>
    <sheet state="visible" name="Analysis Workspace" sheetId="7" r:id="rId10"/>
  </sheets>
  <definedNames>
    <definedName hidden="1" localSheetId="0" name="_xlnm._FilterDatabase">Orders!$A$1:$L$37</definedName>
  </definedNames>
  <calcPr/>
  <extLst>
    <ext uri="GoogleSheetsCustomDataVersion2">
      <go:sheetsCustomData xmlns:go="http://customooxmlschemas.google.com/" r:id="rId11" roundtripDataChecksum="cldWMscrLSU0g8gqpekJeGU9NyO+oBVClyPo2iSbPS4="/>
    </ext>
  </extLst>
</workbook>
</file>

<file path=xl/sharedStrings.xml><?xml version="1.0" encoding="utf-8"?>
<sst xmlns="http://schemas.openxmlformats.org/spreadsheetml/2006/main" count="493" uniqueCount="214">
  <si>
    <t>Customer ID</t>
  </si>
  <si>
    <t>Order ID</t>
  </si>
  <si>
    <t>Product ID</t>
  </si>
  <si>
    <t>Customer Name Raw</t>
  </si>
  <si>
    <t>Employee ID</t>
  </si>
  <si>
    <t>Segment</t>
  </si>
  <si>
    <t>City</t>
  </si>
  <si>
    <t>Order Date</t>
  </si>
  <si>
    <t>Product</t>
  </si>
  <si>
    <t>State</t>
  </si>
  <si>
    <t>Sales Rep</t>
  </si>
  <si>
    <t>Category</t>
  </si>
  <si>
    <t>Region</t>
  </si>
  <si>
    <t>Team</t>
  </si>
  <si>
    <t>Unit Cost</t>
  </si>
  <si>
    <t>Phone Raw</t>
  </si>
  <si>
    <t>List Price</t>
  </si>
  <si>
    <t>Join Date Raw</t>
  </si>
  <si>
    <t>Hire Date</t>
  </si>
  <si>
    <t>Reorder Level</t>
  </si>
  <si>
    <t>Units</t>
  </si>
  <si>
    <t>C001</t>
  </si>
  <si>
    <t>Weekly Capacity Hours</t>
  </si>
  <si>
    <t>Unit Price</t>
  </si>
  <si>
    <t>P001</t>
  </si>
  <si>
    <t>E001</t>
  </si>
  <si>
    <t>Discount</t>
  </si>
  <si>
    <t xml:space="preserve">  summit health group</t>
  </si>
  <si>
    <t>Ergonomic Desk Chair</t>
  </si>
  <si>
    <t>Maya Chen</t>
  </si>
  <si>
    <t>Status</t>
  </si>
  <si>
    <t>Enterprise</t>
  </si>
  <si>
    <t>Furniture</t>
  </si>
  <si>
    <t>Seattle</t>
  </si>
  <si>
    <t>West</t>
  </si>
  <si>
    <t>WA</t>
  </si>
  <si>
    <t>Revenue</t>
  </si>
  <si>
    <t>(206) 555-0131</t>
  </si>
  <si>
    <t>1/8/2024</t>
  </si>
  <si>
    <t>Adjusted Revenue</t>
  </si>
  <si>
    <t>C002</t>
  </si>
  <si>
    <t>NS-1017</t>
  </si>
  <si>
    <t xml:space="preserve">BRIGHTLINE MEDIA  </t>
  </si>
  <si>
    <t>Small Business</t>
  </si>
  <si>
    <t>Portland</t>
  </si>
  <si>
    <t>OR</t>
  </si>
  <si>
    <t>P002</t>
  </si>
  <si>
    <t>503.555.0188</t>
  </si>
  <si>
    <t>Standing Desk</t>
  </si>
  <si>
    <t>2024-02-14</t>
  </si>
  <si>
    <t>E002</t>
  </si>
  <si>
    <t>Jordan Lee</t>
  </si>
  <si>
    <t>C003</t>
  </si>
  <si>
    <t>Growth</t>
  </si>
  <si>
    <t>Cedar &amp; Co.</t>
  </si>
  <si>
    <t>Denver</t>
  </si>
  <si>
    <t>CO</t>
  </si>
  <si>
    <t>P003</t>
  </si>
  <si>
    <t>E003</t>
  </si>
  <si>
    <t>303 555 0150</t>
  </si>
  <si>
    <t>27-inch Monitor</t>
  </si>
  <si>
    <t>Avery Patel</t>
  </si>
  <si>
    <t>3-22-2024</t>
  </si>
  <si>
    <t>Technology</t>
  </si>
  <si>
    <t>East</t>
  </si>
  <si>
    <t>C004</t>
  </si>
  <si>
    <t>harbor logistics</t>
  </si>
  <si>
    <t>Boston</t>
  </si>
  <si>
    <t>Delivered</t>
  </si>
  <si>
    <t>E004</t>
  </si>
  <si>
    <t>P004</t>
  </si>
  <si>
    <t>MA</t>
  </si>
  <si>
    <t>Morgan Diaz</t>
  </si>
  <si>
    <t>Wireless Keyboard</t>
  </si>
  <si>
    <t>Central</t>
  </si>
  <si>
    <t>E005</t>
  </si>
  <si>
    <t>Riley Brooks</t>
  </si>
  <si>
    <t>P005</t>
  </si>
  <si>
    <t>South</t>
  </si>
  <si>
    <t>USB-C Dock</t>
  </si>
  <si>
    <t>E006</t>
  </si>
  <si>
    <t>Taylor Kim</t>
  </si>
  <si>
    <t>P006</t>
  </si>
  <si>
    <t>617-555-0104</t>
  </si>
  <si>
    <t>LED Task Lamp</t>
  </si>
  <si>
    <t>2024/04/05</t>
  </si>
  <si>
    <t>C005</t>
  </si>
  <si>
    <t>NORTHWIND LEGAL</t>
  </si>
  <si>
    <t>New York</t>
  </si>
  <si>
    <t>NY</t>
  </si>
  <si>
    <t>(212)555-0119</t>
  </si>
  <si>
    <t>5/17/2024</t>
  </si>
  <si>
    <t>C006</t>
  </si>
  <si>
    <t>Maple Street Dental</t>
  </si>
  <si>
    <t>Office Supplies</t>
  </si>
  <si>
    <t>Consumer</t>
  </si>
  <si>
    <t>Philadelphia</t>
  </si>
  <si>
    <t>PA</t>
  </si>
  <si>
    <t>215.555.0126</t>
  </si>
  <si>
    <t>2024-06-21</t>
  </si>
  <si>
    <t>P007</t>
  </si>
  <si>
    <t>C007</t>
  </si>
  <si>
    <t>prairie foods inc</t>
  </si>
  <si>
    <t>Notebook Set</t>
  </si>
  <si>
    <t>Chicago</t>
  </si>
  <si>
    <t>IL</t>
  </si>
  <si>
    <t>312 555 0173</t>
  </si>
  <si>
    <t>7-09-2024</t>
  </si>
  <si>
    <t>P008</t>
  </si>
  <si>
    <t>C008</t>
  </si>
  <si>
    <t>Mobile Whiteboard</t>
  </si>
  <si>
    <t xml:space="preserve">LAKESHORE DESIGN </t>
  </si>
  <si>
    <t>Minneapolis</t>
  </si>
  <si>
    <t>MN</t>
  </si>
  <si>
    <t>(612) 555-0195</t>
  </si>
  <si>
    <t>2024/08/11</t>
  </si>
  <si>
    <t>C009</t>
  </si>
  <si>
    <t>NS-1009</t>
  </si>
  <si>
    <t>Oakridge Fitness</t>
  </si>
  <si>
    <t>Kansas City</t>
  </si>
  <si>
    <t>MO</t>
  </si>
  <si>
    <t>816-555-0162</t>
  </si>
  <si>
    <t>9/03/2024</t>
  </si>
  <si>
    <t>C010</t>
  </si>
  <si>
    <t>sunrise hospitality</t>
  </si>
  <si>
    <t>Atlanta</t>
  </si>
  <si>
    <t>GA</t>
  </si>
  <si>
    <t>404.555.0142</t>
  </si>
  <si>
    <t>2024-10-07</t>
  </si>
  <si>
    <t>C011</t>
  </si>
  <si>
    <t>BAYOU SERVICES</t>
  </si>
  <si>
    <t>New Orleans</t>
  </si>
  <si>
    <t>LA</t>
  </si>
  <si>
    <t>NS-1010</t>
  </si>
  <si>
    <t>(504)555-0190</t>
  </si>
  <si>
    <t>11-12-2024</t>
  </si>
  <si>
    <t>C012</t>
  </si>
  <si>
    <t>Blue Ridge Market</t>
  </si>
  <si>
    <t>Charlotte</t>
  </si>
  <si>
    <t>NC</t>
  </si>
  <si>
    <t>704 555 0181</t>
  </si>
  <si>
    <t>2024/12/15</t>
  </si>
  <si>
    <t>NS-1001</t>
  </si>
  <si>
    <t>NS-1011</t>
  </si>
  <si>
    <t>Processing</t>
  </si>
  <si>
    <t>NS-1018</t>
  </si>
  <si>
    <t>NS-1033</t>
  </si>
  <si>
    <t>NS-1002</t>
  </si>
  <si>
    <t>NS-1003</t>
  </si>
  <si>
    <t>NS-1004</t>
  </si>
  <si>
    <t>NS-1005</t>
  </si>
  <si>
    <t>Backordered</t>
  </si>
  <si>
    <t>NS-1028</t>
  </si>
  <si>
    <t>NS-1013</t>
  </si>
  <si>
    <t>Warehouse</t>
  </si>
  <si>
    <t>On Hand</t>
  </si>
  <si>
    <t>Last Restock</t>
  </si>
  <si>
    <t>NS-1029</t>
  </si>
  <si>
    <t>NS-1012</t>
  </si>
  <si>
    <t>NS-1006</t>
  </si>
  <si>
    <t>Tax Rate</t>
  </si>
  <si>
    <t>Order Status</t>
  </si>
  <si>
    <t>NS-1014</t>
  </si>
  <si>
    <t>Cancelled</t>
  </si>
  <si>
    <t>Northstar Operations Analysis Workspace</t>
  </si>
  <si>
    <t>NS-1030</t>
  </si>
  <si>
    <t>KPI Dashboard</t>
  </si>
  <si>
    <t>Value</t>
  </si>
  <si>
    <t>Workbook Foundation</t>
  </si>
  <si>
    <t>Your Result</t>
  </si>
  <si>
    <t>Total Revenue</t>
  </si>
  <si>
    <t>NS-1019</t>
  </si>
  <si>
    <t>Orders table grain</t>
  </si>
  <si>
    <t>One row represents one customer order.</t>
  </si>
  <si>
    <t>Average Order Value</t>
  </si>
  <si>
    <t>Total Units</t>
  </si>
  <si>
    <t>Conditional Summaries</t>
  </si>
  <si>
    <t>NS-1020</t>
  </si>
  <si>
    <t>Delivered Rate</t>
  </si>
  <si>
    <t>West revenue target</t>
  </si>
  <si>
    <t>West revenue</t>
  </si>
  <si>
    <t>NS-1021</t>
  </si>
  <si>
    <t>Delivered orders</t>
  </si>
  <si>
    <t>NS-1022</t>
  </si>
  <si>
    <t>Variance to target</t>
  </si>
  <si>
    <t>Validation &amp; Reconciliation</t>
  </si>
  <si>
    <t>NS-1023</t>
  </si>
  <si>
    <t>Order record count</t>
  </si>
  <si>
    <t>Duplicate Order IDs</t>
  </si>
  <si>
    <t>NS-1024</t>
  </si>
  <si>
    <t>NS-1025</t>
  </si>
  <si>
    <t>Unmatched Product IDs</t>
  </si>
  <si>
    <t>NS-1026</t>
  </si>
  <si>
    <t>Customer Summary</t>
  </si>
  <si>
    <t>Build a customer summary in A20:D26</t>
  </si>
  <si>
    <t>NS-1027</t>
  </si>
  <si>
    <t>NS-1015</t>
  </si>
  <si>
    <t>NS-1008</t>
  </si>
  <si>
    <t>Region Pivot / Summary</t>
  </si>
  <si>
    <t>Category Pivot / Summary</t>
  </si>
  <si>
    <t>NS-1007</t>
  </si>
  <si>
    <t>NS-1032</t>
  </si>
  <si>
    <t>NS-1016</t>
  </si>
  <si>
    <t>NS-1031</t>
  </si>
  <si>
    <t>NS-1034</t>
  </si>
  <si>
    <t>NS-1035</t>
  </si>
  <si>
    <t>NS-1036</t>
  </si>
  <si>
    <t>Reproducible Workflow Checklist</t>
  </si>
  <si>
    <t>Status / Note</t>
  </si>
  <si>
    <t>Raw data preserved</t>
  </si>
  <si>
    <t>Changes documented</t>
  </si>
  <si>
    <t>Formulas validated</t>
  </si>
  <si>
    <t>Outputs refreshed</t>
  </si>
  <si>
    <t>Workbook saved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</si>
</sst>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"/>
    <numFmt numFmtId="165" formatCode="mm/dd/yyyy"/>
    <numFmt numFmtId="166" formatCode="&quot;$&quot;#,##0.00"/>
    <numFmt numFmtId="167" formatCode="0.0%"/>
  </numFmts>
  <fonts count="8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  <font>
      <b/>
      <sz val="16.0"/>
      <color rgb="FFFFFFFF"/>
      <name val="Carlito"/>
    </font>
    <font>
      <b/>
      <sz val="11.0"/>
      <color rgb="FF2C1A4A"/>
      <name val="Carlito"/>
    </font>
    <font>
      <sz val="11.0"/>
      <color rgb="FF181A1B"/>
      <name val="Carlito"/>
    </font>
    <font>
      <sz val="11.0"/>
      <color rgb="FF4C4260"/>
      <name val="Carlito"/>
    </font>
  </fonts>
  <fills count="6">
    <fill>
      <patternFill patternType="none"/>
    </fill>
    <fill>
      <patternFill patternType="lightGray"/>
    </fill>
    <fill>
      <patternFill patternType="solid">
        <fgColor rgb="FF4C2A85"/>
        <bgColor rgb="FF4C2A85"/>
      </patternFill>
    </fill>
    <fill>
      <patternFill patternType="solid">
        <fgColor rgb="FF281A45"/>
        <bgColor rgb="FF281A45"/>
      </patternFill>
    </fill>
    <fill>
      <patternFill patternType="solid">
        <fgColor rgb="FFEDE7F6"/>
        <bgColor rgb="FFEDE7F6"/>
      </patternFill>
    </fill>
    <fill>
      <patternFill patternType="solid">
        <fgColor rgb="FFF6F3FB"/>
        <bgColor rgb="FFF6F3FB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vertical="center"/>
    </xf>
    <xf borderId="0" fillId="2" fontId="1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vertical="center"/>
    </xf>
    <xf borderId="0" fillId="0" fontId="2" numFmtId="165" xfId="0" applyAlignment="1" applyFont="1" applyNumberFormat="1">
      <alignment vertical="center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9" xfId="0" applyAlignment="1" applyFont="1" applyNumberFormat="1">
      <alignment shrinkToFit="0" vertical="center" wrapText="0"/>
    </xf>
    <xf borderId="0" fillId="0" fontId="3" numFmtId="166" xfId="0" applyFont="1" applyNumberFormat="1"/>
    <xf borderId="0" fillId="0" fontId="3" numFmtId="0" xfId="0" applyFont="1"/>
    <xf borderId="0" fillId="0" fontId="2" numFmtId="9" xfId="0" applyFont="1" applyNumberFormat="1"/>
    <xf borderId="0" fillId="3" fontId="4" numFmtId="0" xfId="0" applyAlignment="1" applyFill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4" fontId="5" numFmtId="0" xfId="0" applyAlignment="1" applyFill="1" applyFont="1">
      <alignment shrinkToFit="0" vertical="center" wrapText="1"/>
    </xf>
    <xf borderId="0" fillId="0" fontId="2" numFmtId="164" xfId="0" applyAlignment="1" applyFont="1" applyNumberFormat="1">
      <alignment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2" numFmtId="167" xfId="0" applyAlignment="1" applyFont="1" applyNumberFormat="1">
      <alignment shrinkToFit="0" vertical="center" wrapText="1"/>
    </xf>
    <xf borderId="0" fillId="0" fontId="2" numFmtId="1" xfId="0" applyAlignment="1" applyFont="1" applyNumberFormat="1">
      <alignment shrinkToFit="0" vertical="center" wrapText="1"/>
    </xf>
    <xf borderId="0" fillId="5" fontId="7" numFmtId="0" xfId="0" applyAlignment="1" applyFill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3.0"/>
    <col customWidth="1" min="4" max="4" width="11.0"/>
    <col customWidth="1" min="5" max="5" width="16.0"/>
    <col customWidth="1" min="6" max="6" width="12.0"/>
    <col customWidth="1" min="7" max="7" width="9.0"/>
    <col customWidth="1" min="8" max="8" width="12.0"/>
    <col customWidth="1" min="9" max="9" width="11.0"/>
    <col customWidth="1" min="10" max="10" width="13.0"/>
    <col customWidth="1" min="11" max="11" width="14.63"/>
    <col customWidth="1" min="12" max="12" width="18.13"/>
    <col customWidth="1" min="13" max="26" width="8.63"/>
  </cols>
  <sheetData>
    <row r="1" ht="24.0" customHeight="1">
      <c r="A1" s="2" t="s">
        <v>1</v>
      </c>
      <c r="B1" s="2" t="s">
        <v>7</v>
      </c>
      <c r="C1" s="2" t="s">
        <v>0</v>
      </c>
      <c r="D1" s="2" t="s">
        <v>12</v>
      </c>
      <c r="E1" s="2" t="s">
        <v>10</v>
      </c>
      <c r="F1" s="2" t="s">
        <v>2</v>
      </c>
      <c r="G1" s="2" t="s">
        <v>20</v>
      </c>
      <c r="H1" s="2" t="s">
        <v>23</v>
      </c>
      <c r="I1" s="2" t="s">
        <v>26</v>
      </c>
      <c r="J1" s="2" t="s">
        <v>30</v>
      </c>
      <c r="K1" s="4" t="s">
        <v>36</v>
      </c>
      <c r="L1" s="4" t="s">
        <v>39</v>
      </c>
    </row>
    <row r="2">
      <c r="A2" s="7" t="s">
        <v>41</v>
      </c>
      <c r="B2" s="8">
        <v>46059.0</v>
      </c>
      <c r="C2" s="7" t="s">
        <v>40</v>
      </c>
      <c r="D2" s="7" t="s">
        <v>34</v>
      </c>
      <c r="E2" s="7" t="s">
        <v>29</v>
      </c>
      <c r="F2" s="7" t="s">
        <v>46</v>
      </c>
      <c r="G2" s="7">
        <v>22.0</v>
      </c>
      <c r="H2" s="9">
        <v>525.0</v>
      </c>
      <c r="I2" s="10">
        <v>0.0</v>
      </c>
      <c r="J2" s="7" t="s">
        <v>68</v>
      </c>
      <c r="K2" s="11">
        <f t="shared" ref="K2:K37" si="1">G2*H2*(1-I2)</f>
        <v>11550</v>
      </c>
      <c r="L2" s="11">
        <f>K2*(1+'Lookup Tables'!$B$2)</f>
        <v>12358.5</v>
      </c>
    </row>
    <row r="3">
      <c r="A3" s="7" t="s">
        <v>117</v>
      </c>
      <c r="B3" s="8">
        <v>46043.0</v>
      </c>
      <c r="C3" s="7" t="s">
        <v>52</v>
      </c>
      <c r="D3" s="7" t="s">
        <v>34</v>
      </c>
      <c r="E3" s="7" t="s">
        <v>29</v>
      </c>
      <c r="F3" s="7" t="s">
        <v>46</v>
      </c>
      <c r="G3" s="7">
        <v>21.0</v>
      </c>
      <c r="H3" s="9">
        <v>525.0</v>
      </c>
      <c r="I3" s="10">
        <v>0.0</v>
      </c>
      <c r="J3" s="7" t="s">
        <v>68</v>
      </c>
      <c r="K3" s="11">
        <f t="shared" si="1"/>
        <v>11025</v>
      </c>
      <c r="L3" s="11">
        <f>K3*(1+'Lookup Tables'!$B$2)</f>
        <v>11796.75</v>
      </c>
    </row>
    <row r="4">
      <c r="A4" s="7" t="s">
        <v>133</v>
      </c>
      <c r="B4" s="8">
        <v>46045.0</v>
      </c>
      <c r="C4" s="7" t="s">
        <v>21</v>
      </c>
      <c r="D4" s="7" t="s">
        <v>34</v>
      </c>
      <c r="E4" s="7" t="s">
        <v>51</v>
      </c>
      <c r="F4" s="7" t="s">
        <v>57</v>
      </c>
      <c r="G4" s="7">
        <v>34.0</v>
      </c>
      <c r="H4" s="9">
        <v>299.0</v>
      </c>
      <c r="I4" s="10">
        <v>0.05</v>
      </c>
      <c r="J4" s="7" t="s">
        <v>68</v>
      </c>
      <c r="K4" s="11">
        <f t="shared" si="1"/>
        <v>9657.7</v>
      </c>
      <c r="L4" s="11">
        <f>K4*(1+'Lookup Tables'!$B$2)</f>
        <v>10333.739</v>
      </c>
    </row>
    <row r="5">
      <c r="A5" s="7" t="s">
        <v>142</v>
      </c>
      <c r="B5" s="8">
        <v>46027.0</v>
      </c>
      <c r="C5" s="7" t="s">
        <v>21</v>
      </c>
      <c r="D5" s="7" t="s">
        <v>34</v>
      </c>
      <c r="E5" s="7" t="s">
        <v>29</v>
      </c>
      <c r="F5" s="7" t="s">
        <v>46</v>
      </c>
      <c r="G5" s="7">
        <v>18.0</v>
      </c>
      <c r="H5" s="9">
        <v>525.0</v>
      </c>
      <c r="I5" s="10">
        <v>0.0</v>
      </c>
      <c r="J5" s="7" t="s">
        <v>68</v>
      </c>
      <c r="K5" s="11">
        <f t="shared" si="1"/>
        <v>9450</v>
      </c>
      <c r="L5" s="11">
        <f>K5*(1+'Lookup Tables'!$B$2)</f>
        <v>10111.5</v>
      </c>
    </row>
    <row r="6">
      <c r="A6" s="7" t="s">
        <v>143</v>
      </c>
      <c r="B6" s="8">
        <v>46047.0</v>
      </c>
      <c r="C6" s="7" t="s">
        <v>40</v>
      </c>
      <c r="D6" s="7" t="s">
        <v>34</v>
      </c>
      <c r="E6" s="7" t="s">
        <v>29</v>
      </c>
      <c r="F6" s="7" t="s">
        <v>24</v>
      </c>
      <c r="G6" s="7">
        <v>41.0</v>
      </c>
      <c r="H6" s="9">
        <v>249.0</v>
      </c>
      <c r="I6" s="10">
        <v>0.1</v>
      </c>
      <c r="J6" s="7" t="s">
        <v>144</v>
      </c>
      <c r="K6" s="11">
        <f t="shared" si="1"/>
        <v>9188.1</v>
      </c>
      <c r="L6" s="11">
        <f>K6*(1+'Lookup Tables'!$B$2)</f>
        <v>9831.267</v>
      </c>
    </row>
    <row r="7">
      <c r="A7" s="7" t="s">
        <v>145</v>
      </c>
      <c r="B7" s="8">
        <v>46061.0</v>
      </c>
      <c r="C7" s="7" t="s">
        <v>52</v>
      </c>
      <c r="D7" s="7" t="s">
        <v>34</v>
      </c>
      <c r="E7" s="7" t="s">
        <v>51</v>
      </c>
      <c r="F7" s="7" t="s">
        <v>57</v>
      </c>
      <c r="G7" s="7">
        <v>28.0</v>
      </c>
      <c r="H7" s="9">
        <v>299.0</v>
      </c>
      <c r="I7" s="10">
        <v>0.05</v>
      </c>
      <c r="J7" s="7" t="s">
        <v>68</v>
      </c>
      <c r="K7" s="11">
        <f t="shared" si="1"/>
        <v>7953.4</v>
      </c>
      <c r="L7" s="11">
        <f>K7*(1+'Lookup Tables'!$B$2)</f>
        <v>8510.138</v>
      </c>
    </row>
    <row r="8">
      <c r="A8" s="7" t="s">
        <v>146</v>
      </c>
      <c r="B8" s="8">
        <v>46091.0</v>
      </c>
      <c r="C8" s="7" t="s">
        <v>52</v>
      </c>
      <c r="D8" s="7" t="s">
        <v>34</v>
      </c>
      <c r="E8" s="7" t="s">
        <v>29</v>
      </c>
      <c r="F8" s="7" t="s">
        <v>46</v>
      </c>
      <c r="G8" s="7">
        <v>15.0</v>
      </c>
      <c r="H8" s="9">
        <v>525.0</v>
      </c>
      <c r="I8" s="10">
        <v>0.0</v>
      </c>
      <c r="J8" s="7" t="s">
        <v>68</v>
      </c>
      <c r="K8" s="11">
        <f t="shared" si="1"/>
        <v>7875</v>
      </c>
      <c r="L8" s="11">
        <f>K8*(1+'Lookup Tables'!$B$2)</f>
        <v>8426.25</v>
      </c>
    </row>
    <row r="9">
      <c r="A9" s="7" t="s">
        <v>147</v>
      </c>
      <c r="B9" s="8">
        <v>46029.0</v>
      </c>
      <c r="C9" s="7" t="s">
        <v>40</v>
      </c>
      <c r="D9" s="7" t="s">
        <v>34</v>
      </c>
      <c r="E9" s="7" t="s">
        <v>51</v>
      </c>
      <c r="F9" s="7" t="s">
        <v>57</v>
      </c>
      <c r="G9" s="7">
        <v>24.0</v>
      </c>
      <c r="H9" s="9">
        <v>299.0</v>
      </c>
      <c r="I9" s="10">
        <v>0.05</v>
      </c>
      <c r="J9" s="7" t="s">
        <v>68</v>
      </c>
      <c r="K9" s="11">
        <f t="shared" si="1"/>
        <v>6817.2</v>
      </c>
      <c r="L9" s="11">
        <f>K9*(1+'Lookup Tables'!$B$2)</f>
        <v>7294.404</v>
      </c>
    </row>
    <row r="10">
      <c r="A10" s="7" t="s">
        <v>148</v>
      </c>
      <c r="B10" s="8">
        <v>46031.0</v>
      </c>
      <c r="C10" s="7" t="s">
        <v>52</v>
      </c>
      <c r="D10" s="7" t="s">
        <v>34</v>
      </c>
      <c r="E10" s="7" t="s">
        <v>29</v>
      </c>
      <c r="F10" s="7" t="s">
        <v>24</v>
      </c>
      <c r="G10" s="7">
        <v>30.0</v>
      </c>
      <c r="H10" s="9">
        <v>249.0</v>
      </c>
      <c r="I10" s="10">
        <v>0.1</v>
      </c>
      <c r="J10" s="7" t="s">
        <v>144</v>
      </c>
      <c r="K10" s="11">
        <f t="shared" si="1"/>
        <v>6723</v>
      </c>
      <c r="L10" s="11">
        <f>K10*(1+'Lookup Tables'!$B$2)</f>
        <v>7193.61</v>
      </c>
    </row>
    <row r="11">
      <c r="A11" s="7" t="s">
        <v>149</v>
      </c>
      <c r="B11" s="8">
        <v>46033.0</v>
      </c>
      <c r="C11" s="7" t="s">
        <v>21</v>
      </c>
      <c r="D11" s="7" t="s">
        <v>34</v>
      </c>
      <c r="E11" s="7" t="s">
        <v>51</v>
      </c>
      <c r="F11" s="7" t="s">
        <v>77</v>
      </c>
      <c r="G11" s="7">
        <v>36.0</v>
      </c>
      <c r="H11" s="9">
        <v>149.0</v>
      </c>
      <c r="I11" s="10">
        <v>0.0</v>
      </c>
      <c r="J11" s="7" t="s">
        <v>68</v>
      </c>
      <c r="K11" s="11">
        <f t="shared" si="1"/>
        <v>5364</v>
      </c>
      <c r="L11" s="11">
        <f>K11*(1+'Lookup Tables'!$B$2)</f>
        <v>5739.48</v>
      </c>
    </row>
    <row r="12">
      <c r="A12" s="7" t="s">
        <v>150</v>
      </c>
      <c r="B12" s="8">
        <v>46035.0</v>
      </c>
      <c r="C12" s="7" t="s">
        <v>40</v>
      </c>
      <c r="D12" s="7" t="s">
        <v>34</v>
      </c>
      <c r="E12" s="7" t="s">
        <v>29</v>
      </c>
      <c r="F12" s="7" t="s">
        <v>108</v>
      </c>
      <c r="G12" s="7">
        <v>22.0</v>
      </c>
      <c r="H12" s="9">
        <v>219.0</v>
      </c>
      <c r="I12" s="10">
        <v>0.05</v>
      </c>
      <c r="J12" s="7" t="s">
        <v>151</v>
      </c>
      <c r="K12" s="11">
        <f t="shared" si="1"/>
        <v>4577.1</v>
      </c>
      <c r="L12" s="11">
        <f>K12*(1+'Lookup Tables'!$B$2)</f>
        <v>4897.497</v>
      </c>
    </row>
    <row r="13">
      <c r="A13" s="7" t="s">
        <v>152</v>
      </c>
      <c r="B13" s="8">
        <v>46081.0</v>
      </c>
      <c r="C13" s="7" t="s">
        <v>21</v>
      </c>
      <c r="D13" s="7" t="s">
        <v>34</v>
      </c>
      <c r="E13" s="7" t="s">
        <v>51</v>
      </c>
      <c r="F13" s="7" t="s">
        <v>77</v>
      </c>
      <c r="G13" s="7">
        <v>30.0</v>
      </c>
      <c r="H13" s="9">
        <v>149.0</v>
      </c>
      <c r="I13" s="10">
        <v>0.0</v>
      </c>
      <c r="J13" s="7" t="s">
        <v>68</v>
      </c>
      <c r="K13" s="11">
        <f t="shared" si="1"/>
        <v>4470</v>
      </c>
      <c r="L13" s="11">
        <f>K13*(1+'Lookup Tables'!$B$2)</f>
        <v>4782.9</v>
      </c>
    </row>
    <row r="14">
      <c r="A14" s="7" t="s">
        <v>153</v>
      </c>
      <c r="B14" s="8">
        <v>46051.0</v>
      </c>
      <c r="C14" s="7" t="s">
        <v>21</v>
      </c>
      <c r="D14" s="7" t="s">
        <v>34</v>
      </c>
      <c r="E14" s="7" t="s">
        <v>29</v>
      </c>
      <c r="F14" s="7" t="s">
        <v>108</v>
      </c>
      <c r="G14" s="7">
        <v>18.0</v>
      </c>
      <c r="H14" s="9">
        <v>219.0</v>
      </c>
      <c r="I14" s="10">
        <v>0.05</v>
      </c>
      <c r="J14" s="7" t="s">
        <v>151</v>
      </c>
      <c r="K14" s="11">
        <f t="shared" si="1"/>
        <v>3744.9</v>
      </c>
      <c r="L14" s="11">
        <f>K14*(1+'Lookup Tables'!$B$2)</f>
        <v>4007.043</v>
      </c>
    </row>
    <row r="15">
      <c r="A15" s="7" t="s">
        <v>157</v>
      </c>
      <c r="B15" s="8">
        <v>46083.0</v>
      </c>
      <c r="C15" s="7" t="s">
        <v>40</v>
      </c>
      <c r="D15" s="7" t="s">
        <v>34</v>
      </c>
      <c r="E15" s="7" t="s">
        <v>29</v>
      </c>
      <c r="F15" s="7" t="s">
        <v>108</v>
      </c>
      <c r="G15" s="7">
        <v>16.0</v>
      </c>
      <c r="H15" s="9">
        <v>219.0</v>
      </c>
      <c r="I15" s="10">
        <v>0.05</v>
      </c>
      <c r="J15" s="7" t="s">
        <v>151</v>
      </c>
      <c r="K15" s="11">
        <f t="shared" si="1"/>
        <v>3328.8</v>
      </c>
      <c r="L15" s="11">
        <f>K15*(1+'Lookup Tables'!$B$2)</f>
        <v>3561.816</v>
      </c>
    </row>
    <row r="16">
      <c r="A16" s="7" t="s">
        <v>158</v>
      </c>
      <c r="B16" s="8">
        <v>46049.0</v>
      </c>
      <c r="C16" s="7" t="s">
        <v>52</v>
      </c>
      <c r="D16" s="7" t="s">
        <v>34</v>
      </c>
      <c r="E16" s="7" t="s">
        <v>51</v>
      </c>
      <c r="F16" s="7" t="s">
        <v>77</v>
      </c>
      <c r="G16" s="7">
        <v>20.0</v>
      </c>
      <c r="H16" s="9">
        <v>149.0</v>
      </c>
      <c r="I16" s="10">
        <v>0.0</v>
      </c>
      <c r="J16" s="7" t="s">
        <v>68</v>
      </c>
      <c r="K16" s="11">
        <f t="shared" si="1"/>
        <v>2980</v>
      </c>
      <c r="L16" s="11">
        <f>K16*(1+'Lookup Tables'!$B$2)</f>
        <v>3188.6</v>
      </c>
    </row>
    <row r="17">
      <c r="A17" s="7" t="s">
        <v>159</v>
      </c>
      <c r="B17" s="8">
        <v>46037.0</v>
      </c>
      <c r="C17" s="7" t="s">
        <v>52</v>
      </c>
      <c r="D17" s="7" t="s">
        <v>34</v>
      </c>
      <c r="E17" s="7" t="s">
        <v>51</v>
      </c>
      <c r="F17" s="7" t="s">
        <v>70</v>
      </c>
      <c r="G17" s="7">
        <v>28.0</v>
      </c>
      <c r="H17" s="9">
        <v>79.0</v>
      </c>
      <c r="I17" s="10">
        <v>0.0</v>
      </c>
      <c r="J17" s="7" t="s">
        <v>68</v>
      </c>
      <c r="K17" s="11">
        <f t="shared" si="1"/>
        <v>2212</v>
      </c>
      <c r="L17" s="11">
        <f>K17*(1+'Lookup Tables'!$B$2)</f>
        <v>2366.84</v>
      </c>
    </row>
    <row r="18">
      <c r="A18" s="7" t="s">
        <v>162</v>
      </c>
      <c r="B18" s="8">
        <v>46053.0</v>
      </c>
      <c r="C18" s="7" t="s">
        <v>40</v>
      </c>
      <c r="D18" s="7" t="s">
        <v>34</v>
      </c>
      <c r="E18" s="7" t="s">
        <v>51</v>
      </c>
      <c r="F18" s="7" t="s">
        <v>70</v>
      </c>
      <c r="G18" s="7">
        <v>24.0</v>
      </c>
      <c r="H18" s="9">
        <v>79.0</v>
      </c>
      <c r="I18" s="10">
        <v>0.0</v>
      </c>
      <c r="J18" s="7" t="s">
        <v>68</v>
      </c>
      <c r="K18" s="11">
        <f t="shared" si="1"/>
        <v>1896</v>
      </c>
      <c r="L18" s="11">
        <f>K18*(1+'Lookup Tables'!$B$2)</f>
        <v>2028.72</v>
      </c>
    </row>
    <row r="19">
      <c r="A19" s="7" t="s">
        <v>165</v>
      </c>
      <c r="B19" s="8">
        <v>46085.0</v>
      </c>
      <c r="C19" s="7" t="s">
        <v>52</v>
      </c>
      <c r="D19" s="7" t="s">
        <v>34</v>
      </c>
      <c r="E19" s="7" t="s">
        <v>51</v>
      </c>
      <c r="F19" s="7" t="s">
        <v>70</v>
      </c>
      <c r="G19" s="7">
        <v>22.0</v>
      </c>
      <c r="H19" s="9">
        <v>79.0</v>
      </c>
      <c r="I19" s="10">
        <v>0.0</v>
      </c>
      <c r="J19" s="7" t="s">
        <v>68</v>
      </c>
      <c r="K19" s="11">
        <f t="shared" si="1"/>
        <v>1738</v>
      </c>
      <c r="L19" s="11">
        <f>K19*(1+'Lookup Tables'!$B$2)</f>
        <v>1859.66</v>
      </c>
    </row>
    <row r="20" hidden="1">
      <c r="A20" s="7" t="s">
        <v>171</v>
      </c>
      <c r="B20" s="8">
        <v>46063.0</v>
      </c>
      <c r="C20" s="7" t="s">
        <v>65</v>
      </c>
      <c r="D20" s="7" t="s">
        <v>64</v>
      </c>
      <c r="E20" s="7" t="s">
        <v>61</v>
      </c>
      <c r="F20" s="7" t="s">
        <v>24</v>
      </c>
      <c r="G20" s="7">
        <v>10.0</v>
      </c>
      <c r="H20" s="9">
        <v>249.0</v>
      </c>
      <c r="I20" s="10">
        <v>0.1</v>
      </c>
      <c r="J20" s="7" t="s">
        <v>144</v>
      </c>
      <c r="K20" s="11">
        <f t="shared" si="1"/>
        <v>2241</v>
      </c>
      <c r="L20" s="11">
        <f>K20*(1+'Lookup Tables'!$B$2)</f>
        <v>2397.87</v>
      </c>
    </row>
    <row r="21" ht="15.75" hidden="1" customHeight="1">
      <c r="A21" s="7" t="s">
        <v>177</v>
      </c>
      <c r="B21" s="8">
        <v>46065.0</v>
      </c>
      <c r="C21" s="7" t="s">
        <v>86</v>
      </c>
      <c r="D21" s="7" t="s">
        <v>64</v>
      </c>
      <c r="E21" s="7" t="s">
        <v>81</v>
      </c>
      <c r="F21" s="7" t="s">
        <v>77</v>
      </c>
      <c r="G21" s="7">
        <v>40.0</v>
      </c>
      <c r="H21" s="9">
        <v>149.0</v>
      </c>
      <c r="I21" s="10">
        <v>0.0</v>
      </c>
      <c r="J21" s="7" t="s">
        <v>68</v>
      </c>
      <c r="K21" s="11">
        <f t="shared" si="1"/>
        <v>5960</v>
      </c>
      <c r="L21" s="11">
        <f>K21*(1+'Lookup Tables'!$B$2)</f>
        <v>6377.2</v>
      </c>
    </row>
    <row r="22" ht="15.75" hidden="1" customHeight="1">
      <c r="A22" s="7" t="s">
        <v>181</v>
      </c>
      <c r="B22" s="8">
        <v>46067.0</v>
      </c>
      <c r="C22" s="7" t="s">
        <v>92</v>
      </c>
      <c r="D22" s="7" t="s">
        <v>64</v>
      </c>
      <c r="E22" s="7" t="s">
        <v>61</v>
      </c>
      <c r="F22" s="7" t="s">
        <v>108</v>
      </c>
      <c r="G22" s="7">
        <v>15.0</v>
      </c>
      <c r="H22" s="9">
        <v>219.0</v>
      </c>
      <c r="I22" s="10">
        <v>0.05</v>
      </c>
      <c r="J22" s="7" t="s">
        <v>151</v>
      </c>
      <c r="K22" s="11">
        <f t="shared" si="1"/>
        <v>3120.75</v>
      </c>
      <c r="L22" s="11">
        <f>K22*(1+'Lookup Tables'!$B$2)</f>
        <v>3339.2025</v>
      </c>
    </row>
    <row r="23" ht="15.75" hidden="1" customHeight="1">
      <c r="A23" s="7" t="s">
        <v>183</v>
      </c>
      <c r="B23" s="8">
        <v>46069.0</v>
      </c>
      <c r="C23" s="7" t="s">
        <v>101</v>
      </c>
      <c r="D23" s="7" t="s">
        <v>74</v>
      </c>
      <c r="E23" s="7" t="s">
        <v>72</v>
      </c>
      <c r="F23" s="7" t="s">
        <v>70</v>
      </c>
      <c r="G23" s="7">
        <v>28.0</v>
      </c>
      <c r="H23" s="9">
        <v>79.0</v>
      </c>
      <c r="I23" s="10">
        <v>0.0</v>
      </c>
      <c r="J23" s="7" t="s">
        <v>68</v>
      </c>
      <c r="K23" s="11">
        <f t="shared" si="1"/>
        <v>2212</v>
      </c>
      <c r="L23" s="11">
        <f>K23*(1+'Lookup Tables'!$B$2)</f>
        <v>2366.84</v>
      </c>
    </row>
    <row r="24" ht="15.75" hidden="1" customHeight="1">
      <c r="A24" s="7" t="s">
        <v>186</v>
      </c>
      <c r="B24" s="8">
        <v>46071.0</v>
      </c>
      <c r="C24" s="7" t="s">
        <v>109</v>
      </c>
      <c r="D24" s="7" t="s">
        <v>74</v>
      </c>
      <c r="E24" s="7" t="s">
        <v>72</v>
      </c>
      <c r="F24" s="7" t="s">
        <v>82</v>
      </c>
      <c r="G24" s="7">
        <v>35.0</v>
      </c>
      <c r="H24" s="9">
        <v>49.0</v>
      </c>
      <c r="I24" s="10">
        <v>0.1</v>
      </c>
      <c r="J24" s="7" t="s">
        <v>144</v>
      </c>
      <c r="K24" s="11">
        <f t="shared" si="1"/>
        <v>1543.5</v>
      </c>
      <c r="L24" s="11">
        <f>K24*(1+'Lookup Tables'!$B$2)</f>
        <v>1651.545</v>
      </c>
    </row>
    <row r="25" ht="15.75" hidden="1" customHeight="1">
      <c r="A25" s="7" t="s">
        <v>189</v>
      </c>
      <c r="B25" s="8">
        <v>46073.0</v>
      </c>
      <c r="C25" s="7" t="s">
        <v>116</v>
      </c>
      <c r="D25" s="7" t="s">
        <v>74</v>
      </c>
      <c r="E25" s="7" t="s">
        <v>72</v>
      </c>
      <c r="F25" s="7" t="s">
        <v>100</v>
      </c>
      <c r="G25" s="7">
        <v>14.0</v>
      </c>
      <c r="H25" s="9">
        <v>18.0</v>
      </c>
      <c r="I25" s="10">
        <v>0.05</v>
      </c>
      <c r="J25" s="7" t="s">
        <v>163</v>
      </c>
      <c r="K25" s="11">
        <f t="shared" si="1"/>
        <v>239.4</v>
      </c>
      <c r="L25" s="11">
        <f>K25*(1+'Lookup Tables'!$B$2)</f>
        <v>256.158</v>
      </c>
    </row>
    <row r="26" ht="15.75" hidden="1" customHeight="1">
      <c r="A26" s="7" t="s">
        <v>190</v>
      </c>
      <c r="B26" s="8">
        <v>46075.0</v>
      </c>
      <c r="C26" s="7" t="s">
        <v>123</v>
      </c>
      <c r="D26" s="7" t="s">
        <v>78</v>
      </c>
      <c r="E26" s="7" t="s">
        <v>76</v>
      </c>
      <c r="F26" s="7" t="s">
        <v>46</v>
      </c>
      <c r="G26" s="7">
        <v>12.0</v>
      </c>
      <c r="H26" s="9">
        <v>525.0</v>
      </c>
      <c r="I26" s="10">
        <v>0.0</v>
      </c>
      <c r="J26" s="7" t="s">
        <v>68</v>
      </c>
      <c r="K26" s="11">
        <f t="shared" si="1"/>
        <v>6300</v>
      </c>
      <c r="L26" s="11">
        <f>K26*(1+'Lookup Tables'!$B$2)</f>
        <v>6741</v>
      </c>
    </row>
    <row r="27" ht="15.75" hidden="1" customHeight="1">
      <c r="A27" s="7" t="s">
        <v>192</v>
      </c>
      <c r="B27" s="8">
        <v>46077.0</v>
      </c>
      <c r="C27" s="7" t="s">
        <v>129</v>
      </c>
      <c r="D27" s="7" t="s">
        <v>78</v>
      </c>
      <c r="E27" s="7" t="s">
        <v>76</v>
      </c>
      <c r="F27" s="7" t="s">
        <v>57</v>
      </c>
      <c r="G27" s="7">
        <v>18.0</v>
      </c>
      <c r="H27" s="9">
        <v>299.0</v>
      </c>
      <c r="I27" s="10">
        <v>0.05</v>
      </c>
      <c r="J27" s="7" t="s">
        <v>68</v>
      </c>
      <c r="K27" s="11">
        <f t="shared" si="1"/>
        <v>5112.9</v>
      </c>
      <c r="L27" s="11">
        <f>K27*(1+'Lookup Tables'!$B$2)</f>
        <v>5470.803</v>
      </c>
    </row>
    <row r="28" ht="15.75" hidden="1" customHeight="1">
      <c r="A28" s="7" t="s">
        <v>195</v>
      </c>
      <c r="B28" s="8">
        <v>46079.0</v>
      </c>
      <c r="C28" s="7" t="s">
        <v>136</v>
      </c>
      <c r="D28" s="7" t="s">
        <v>78</v>
      </c>
      <c r="E28" s="7" t="s">
        <v>76</v>
      </c>
      <c r="F28" s="7" t="s">
        <v>24</v>
      </c>
      <c r="G28" s="7">
        <v>24.0</v>
      </c>
      <c r="H28" s="9">
        <v>249.0</v>
      </c>
      <c r="I28" s="10">
        <v>0.1</v>
      </c>
      <c r="J28" s="7" t="s">
        <v>144</v>
      </c>
      <c r="K28" s="11">
        <f t="shared" si="1"/>
        <v>5378.4</v>
      </c>
      <c r="L28" s="11">
        <f>K28*(1+'Lookup Tables'!$B$2)</f>
        <v>5754.888</v>
      </c>
    </row>
    <row r="29" ht="15.75" customHeight="1">
      <c r="A29" s="7" t="s">
        <v>196</v>
      </c>
      <c r="B29" s="8">
        <v>46055.0</v>
      </c>
      <c r="C29" s="7" t="s">
        <v>52</v>
      </c>
      <c r="D29" s="7" t="s">
        <v>34</v>
      </c>
      <c r="E29" s="7" t="s">
        <v>29</v>
      </c>
      <c r="F29" s="7" t="s">
        <v>82</v>
      </c>
      <c r="G29" s="7">
        <v>30.0</v>
      </c>
      <c r="H29" s="9">
        <v>49.0</v>
      </c>
      <c r="I29" s="10">
        <v>0.1</v>
      </c>
      <c r="J29" s="7" t="s">
        <v>144</v>
      </c>
      <c r="K29" s="11">
        <f t="shared" si="1"/>
        <v>1323</v>
      </c>
      <c r="L29" s="11">
        <f>K29*(1+'Lookup Tables'!$B$2)</f>
        <v>1415.61</v>
      </c>
    </row>
    <row r="30" ht="15.75" customHeight="1">
      <c r="A30" s="7" t="s">
        <v>197</v>
      </c>
      <c r="B30" s="8">
        <v>46041.0</v>
      </c>
      <c r="C30" s="7" t="s">
        <v>40</v>
      </c>
      <c r="D30" s="7" t="s">
        <v>34</v>
      </c>
      <c r="E30" s="7" t="s">
        <v>51</v>
      </c>
      <c r="F30" s="7" t="s">
        <v>100</v>
      </c>
      <c r="G30" s="7">
        <v>46.0</v>
      </c>
      <c r="H30" s="9">
        <v>18.0</v>
      </c>
      <c r="I30" s="10">
        <v>0.05</v>
      </c>
      <c r="J30" s="7" t="s">
        <v>163</v>
      </c>
      <c r="K30" s="11">
        <f t="shared" si="1"/>
        <v>786.6</v>
      </c>
      <c r="L30" s="11">
        <f>K30*(1+'Lookup Tables'!$B$2)</f>
        <v>841.662</v>
      </c>
    </row>
    <row r="31" ht="15.75" customHeight="1">
      <c r="A31" s="7" t="s">
        <v>200</v>
      </c>
      <c r="B31" s="8">
        <v>46039.0</v>
      </c>
      <c r="C31" s="7" t="s">
        <v>21</v>
      </c>
      <c r="D31" s="7" t="s">
        <v>34</v>
      </c>
      <c r="E31" s="7" t="s">
        <v>29</v>
      </c>
      <c r="F31" s="7" t="s">
        <v>82</v>
      </c>
      <c r="G31" s="7">
        <v>16.0</v>
      </c>
      <c r="H31" s="9">
        <v>49.0</v>
      </c>
      <c r="I31" s="10">
        <v>0.1</v>
      </c>
      <c r="J31" s="7" t="s">
        <v>144</v>
      </c>
      <c r="K31" s="11">
        <f t="shared" si="1"/>
        <v>705.6</v>
      </c>
      <c r="L31" s="11">
        <f>K31*(1+'Lookup Tables'!$B$2)</f>
        <v>754.992</v>
      </c>
    </row>
    <row r="32" ht="15.75" customHeight="1">
      <c r="A32" s="7" t="s">
        <v>201</v>
      </c>
      <c r="B32" s="8">
        <v>46089.0</v>
      </c>
      <c r="C32" s="7" t="s">
        <v>40</v>
      </c>
      <c r="D32" s="7" t="s">
        <v>34</v>
      </c>
      <c r="E32" s="7" t="s">
        <v>51</v>
      </c>
      <c r="F32" s="7" t="s">
        <v>100</v>
      </c>
      <c r="G32" s="7">
        <v>40.0</v>
      </c>
      <c r="H32" s="9">
        <v>18.0</v>
      </c>
      <c r="I32" s="10">
        <v>0.05</v>
      </c>
      <c r="J32" s="7" t="s">
        <v>163</v>
      </c>
      <c r="K32" s="11">
        <f t="shared" si="1"/>
        <v>684</v>
      </c>
      <c r="L32" s="11">
        <f>K32*(1+'Lookup Tables'!$B$2)</f>
        <v>731.88</v>
      </c>
    </row>
    <row r="33" ht="15.75" customHeight="1">
      <c r="A33" s="7" t="s">
        <v>202</v>
      </c>
      <c r="B33" s="8">
        <v>46057.0</v>
      </c>
      <c r="C33" s="7" t="s">
        <v>21</v>
      </c>
      <c r="D33" s="7" t="s">
        <v>34</v>
      </c>
      <c r="E33" s="7" t="s">
        <v>51</v>
      </c>
      <c r="F33" s="7" t="s">
        <v>100</v>
      </c>
      <c r="G33" s="7">
        <v>36.0</v>
      </c>
      <c r="H33" s="9">
        <v>18.0</v>
      </c>
      <c r="I33" s="10">
        <v>0.05</v>
      </c>
      <c r="J33" s="7" t="s">
        <v>163</v>
      </c>
      <c r="K33" s="11">
        <f t="shared" si="1"/>
        <v>615.6</v>
      </c>
      <c r="L33" s="11">
        <f>K33*(1+'Lookup Tables'!$B$2)</f>
        <v>658.692</v>
      </c>
    </row>
    <row r="34" ht="15.75" customHeight="1">
      <c r="A34" s="7" t="s">
        <v>203</v>
      </c>
      <c r="B34" s="8">
        <v>46087.0</v>
      </c>
      <c r="C34" s="7" t="s">
        <v>21</v>
      </c>
      <c r="D34" s="7" t="s">
        <v>34</v>
      </c>
      <c r="E34" s="7" t="s">
        <v>29</v>
      </c>
      <c r="F34" s="7" t="s">
        <v>82</v>
      </c>
      <c r="G34" s="7">
        <v>10.0</v>
      </c>
      <c r="H34" s="9">
        <v>49.0</v>
      </c>
      <c r="I34" s="10">
        <v>0.1</v>
      </c>
      <c r="J34" s="7" t="s">
        <v>144</v>
      </c>
      <c r="K34" s="11">
        <f t="shared" si="1"/>
        <v>441</v>
      </c>
      <c r="L34" s="11">
        <f>K34*(1+'Lookup Tables'!$B$2)</f>
        <v>471.87</v>
      </c>
    </row>
    <row r="35" ht="15.75" hidden="1" customHeight="1">
      <c r="A35" s="7" t="s">
        <v>204</v>
      </c>
      <c r="B35" s="8">
        <v>46093.0</v>
      </c>
      <c r="C35" s="7" t="s">
        <v>65</v>
      </c>
      <c r="D35" s="7" t="s">
        <v>64</v>
      </c>
      <c r="E35" s="7" t="s">
        <v>81</v>
      </c>
      <c r="F35" s="7" t="s">
        <v>57</v>
      </c>
      <c r="G35" s="7">
        <v>28.0</v>
      </c>
      <c r="H35" s="9">
        <v>299.0</v>
      </c>
      <c r="I35" s="10">
        <v>0.05</v>
      </c>
      <c r="J35" s="7" t="s">
        <v>68</v>
      </c>
      <c r="K35" s="11">
        <f t="shared" si="1"/>
        <v>7953.4</v>
      </c>
      <c r="L35" s="11">
        <f>K35*(1+'Lookup Tables'!$B$2)</f>
        <v>8510.138</v>
      </c>
    </row>
    <row r="36" ht="15.75" hidden="1" customHeight="1">
      <c r="A36" s="7" t="s">
        <v>205</v>
      </c>
      <c r="B36" s="8">
        <v>46095.0</v>
      </c>
      <c r="C36" s="7" t="s">
        <v>86</v>
      </c>
      <c r="D36" s="7" t="s">
        <v>64</v>
      </c>
      <c r="E36" s="7" t="s">
        <v>61</v>
      </c>
      <c r="F36" s="7" t="s">
        <v>24</v>
      </c>
      <c r="G36" s="7">
        <v>35.0</v>
      </c>
      <c r="H36" s="9">
        <v>249.0</v>
      </c>
      <c r="I36" s="10">
        <v>0.1</v>
      </c>
      <c r="J36" s="7" t="s">
        <v>144</v>
      </c>
      <c r="K36" s="11">
        <f t="shared" si="1"/>
        <v>7843.5</v>
      </c>
      <c r="L36" s="11">
        <f>K36*(1+'Lookup Tables'!$B$2)</f>
        <v>8392.545</v>
      </c>
    </row>
    <row r="37" ht="15.75" hidden="1" customHeight="1">
      <c r="A37" s="7" t="s">
        <v>206</v>
      </c>
      <c r="B37" s="8">
        <v>46097.0</v>
      </c>
      <c r="C37" s="7" t="s">
        <v>92</v>
      </c>
      <c r="D37" s="7" t="s">
        <v>64</v>
      </c>
      <c r="E37" s="7" t="s">
        <v>81</v>
      </c>
      <c r="F37" s="7" t="s">
        <v>77</v>
      </c>
      <c r="G37" s="7">
        <v>14.0</v>
      </c>
      <c r="H37" s="9">
        <v>149.0</v>
      </c>
      <c r="I37" s="10">
        <v>0.0</v>
      </c>
      <c r="J37" s="7" t="s">
        <v>68</v>
      </c>
      <c r="K37" s="11">
        <f t="shared" si="1"/>
        <v>2086</v>
      </c>
      <c r="L37" s="11">
        <f>K37*(1+'Lookup Tables'!$B$2)</f>
        <v>2232.02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37">
    <filterColumn colId="3">
      <filters>
        <filter val="West"/>
      </filters>
    </filterColumn>
    <sortState ref="A1:L37">
      <sortCondition descending="1" ref="L1:L37"/>
    </sortState>
  </autoFilter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26.0"/>
    <col customWidth="1" min="3" max="4" width="16.0"/>
    <col customWidth="1" min="5" max="5" width="8.0"/>
    <col customWidth="1" min="6" max="6" width="11.0"/>
    <col customWidth="1" min="7" max="7" width="18.0"/>
    <col customWidth="1" min="8" max="8" width="16.0"/>
    <col customWidth="1" min="9" max="26" width="8.63"/>
  </cols>
  <sheetData>
    <row r="1" ht="24.0" customHeight="1">
      <c r="A1" s="1" t="s">
        <v>0</v>
      </c>
      <c r="B1" s="1" t="s">
        <v>3</v>
      </c>
      <c r="C1" s="1" t="s">
        <v>5</v>
      </c>
      <c r="D1" s="1" t="s">
        <v>6</v>
      </c>
      <c r="E1" s="1" t="s">
        <v>9</v>
      </c>
      <c r="F1" s="1" t="s">
        <v>12</v>
      </c>
      <c r="G1" s="1" t="s">
        <v>15</v>
      </c>
      <c r="H1" s="1" t="s">
        <v>17</v>
      </c>
    </row>
    <row r="2">
      <c r="A2" s="3" t="s">
        <v>21</v>
      </c>
      <c r="B2" s="3" t="s">
        <v>27</v>
      </c>
      <c r="C2" s="3" t="s">
        <v>31</v>
      </c>
      <c r="D2" s="3" t="s">
        <v>33</v>
      </c>
      <c r="E2" s="3" t="s">
        <v>35</v>
      </c>
      <c r="F2" s="3" t="s">
        <v>34</v>
      </c>
      <c r="G2" s="3" t="s">
        <v>37</v>
      </c>
      <c r="H2" s="3" t="s">
        <v>38</v>
      </c>
    </row>
    <row r="3">
      <c r="A3" s="3" t="s">
        <v>40</v>
      </c>
      <c r="B3" s="3" t="s">
        <v>42</v>
      </c>
      <c r="C3" s="3" t="s">
        <v>43</v>
      </c>
      <c r="D3" s="3" t="s">
        <v>44</v>
      </c>
      <c r="E3" s="3" t="s">
        <v>45</v>
      </c>
      <c r="F3" s="3" t="s">
        <v>34</v>
      </c>
      <c r="G3" s="3" t="s">
        <v>47</v>
      </c>
      <c r="H3" s="3" t="s">
        <v>49</v>
      </c>
    </row>
    <row r="4">
      <c r="A4" s="3" t="s">
        <v>52</v>
      </c>
      <c r="B4" s="3" t="s">
        <v>54</v>
      </c>
      <c r="C4" s="3" t="s">
        <v>43</v>
      </c>
      <c r="D4" s="3" t="s">
        <v>55</v>
      </c>
      <c r="E4" s="3" t="s">
        <v>56</v>
      </c>
      <c r="F4" s="3" t="s">
        <v>34</v>
      </c>
      <c r="G4" s="3" t="s">
        <v>59</v>
      </c>
      <c r="H4" s="3" t="s">
        <v>62</v>
      </c>
    </row>
    <row r="5">
      <c r="A5" s="3" t="s">
        <v>65</v>
      </c>
      <c r="B5" s="3" t="s">
        <v>66</v>
      </c>
      <c r="C5" s="3" t="s">
        <v>31</v>
      </c>
      <c r="D5" s="3" t="s">
        <v>67</v>
      </c>
      <c r="E5" s="3" t="s">
        <v>71</v>
      </c>
      <c r="F5" s="3" t="s">
        <v>64</v>
      </c>
      <c r="G5" s="3" t="s">
        <v>83</v>
      </c>
      <c r="H5" s="3" t="s">
        <v>85</v>
      </c>
    </row>
    <row r="6">
      <c r="A6" s="3" t="s">
        <v>86</v>
      </c>
      <c r="B6" s="3" t="s">
        <v>87</v>
      </c>
      <c r="C6" s="3" t="s">
        <v>43</v>
      </c>
      <c r="D6" s="3" t="s">
        <v>88</v>
      </c>
      <c r="E6" s="3" t="s">
        <v>89</v>
      </c>
      <c r="F6" s="3" t="s">
        <v>64</v>
      </c>
      <c r="G6" s="3" t="s">
        <v>90</v>
      </c>
      <c r="H6" s="3" t="s">
        <v>91</v>
      </c>
    </row>
    <row r="7">
      <c r="A7" s="3" t="s">
        <v>92</v>
      </c>
      <c r="B7" s="3" t="s">
        <v>93</v>
      </c>
      <c r="C7" s="3" t="s">
        <v>95</v>
      </c>
      <c r="D7" s="3" t="s">
        <v>96</v>
      </c>
      <c r="E7" s="3" t="s">
        <v>97</v>
      </c>
      <c r="F7" s="3" t="s">
        <v>64</v>
      </c>
      <c r="G7" s="3" t="s">
        <v>98</v>
      </c>
      <c r="H7" s="3" t="s">
        <v>99</v>
      </c>
    </row>
    <row r="8">
      <c r="A8" s="3" t="s">
        <v>101</v>
      </c>
      <c r="B8" s="3" t="s">
        <v>102</v>
      </c>
      <c r="C8" s="3" t="s">
        <v>31</v>
      </c>
      <c r="D8" s="3" t="s">
        <v>104</v>
      </c>
      <c r="E8" s="3" t="s">
        <v>105</v>
      </c>
      <c r="F8" s="3" t="s">
        <v>74</v>
      </c>
      <c r="G8" s="3" t="s">
        <v>106</v>
      </c>
      <c r="H8" s="3" t="s">
        <v>107</v>
      </c>
    </row>
    <row r="9">
      <c r="A9" s="3" t="s">
        <v>109</v>
      </c>
      <c r="B9" s="3" t="s">
        <v>111</v>
      </c>
      <c r="C9" s="3" t="s">
        <v>43</v>
      </c>
      <c r="D9" s="3" t="s">
        <v>112</v>
      </c>
      <c r="E9" s="3" t="s">
        <v>113</v>
      </c>
      <c r="F9" s="3" t="s">
        <v>74</v>
      </c>
      <c r="G9" s="3" t="s">
        <v>114</v>
      </c>
      <c r="H9" s="3" t="s">
        <v>115</v>
      </c>
    </row>
    <row r="10">
      <c r="A10" s="3" t="s">
        <v>116</v>
      </c>
      <c r="B10" s="3" t="s">
        <v>118</v>
      </c>
      <c r="C10" s="3" t="s">
        <v>95</v>
      </c>
      <c r="D10" s="3" t="s">
        <v>119</v>
      </c>
      <c r="E10" s="3" t="s">
        <v>120</v>
      </c>
      <c r="F10" s="3" t="s">
        <v>74</v>
      </c>
      <c r="G10" s="3" t="s">
        <v>121</v>
      </c>
      <c r="H10" s="3" t="s">
        <v>122</v>
      </c>
    </row>
    <row r="11">
      <c r="A11" s="3" t="s">
        <v>123</v>
      </c>
      <c r="B11" s="3" t="s">
        <v>124</v>
      </c>
      <c r="C11" s="3" t="s">
        <v>31</v>
      </c>
      <c r="D11" s="3" t="s">
        <v>125</v>
      </c>
      <c r="E11" s="3" t="s">
        <v>126</v>
      </c>
      <c r="F11" s="3" t="s">
        <v>78</v>
      </c>
      <c r="G11" s="3" t="s">
        <v>127</v>
      </c>
      <c r="H11" s="3" t="s">
        <v>128</v>
      </c>
    </row>
    <row r="12">
      <c r="A12" s="3" t="s">
        <v>129</v>
      </c>
      <c r="B12" s="3" t="s">
        <v>130</v>
      </c>
      <c r="C12" s="3" t="s">
        <v>43</v>
      </c>
      <c r="D12" s="3" t="s">
        <v>131</v>
      </c>
      <c r="E12" s="3" t="s">
        <v>132</v>
      </c>
      <c r="F12" s="3" t="s">
        <v>78</v>
      </c>
      <c r="G12" s="3" t="s">
        <v>134</v>
      </c>
      <c r="H12" s="3" t="s">
        <v>135</v>
      </c>
    </row>
    <row r="13">
      <c r="A13" s="3" t="s">
        <v>136</v>
      </c>
      <c r="B13" s="3" t="s">
        <v>137</v>
      </c>
      <c r="C13" s="3" t="s">
        <v>95</v>
      </c>
      <c r="D13" s="3" t="s">
        <v>138</v>
      </c>
      <c r="E13" s="3" t="s">
        <v>139</v>
      </c>
      <c r="F13" s="3" t="s">
        <v>78</v>
      </c>
      <c r="G13" s="3" t="s">
        <v>140</v>
      </c>
      <c r="H13" s="3" t="s">
        <v>141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0"/>
    <col customWidth="1" min="2" max="2" width="25.0"/>
    <col customWidth="1" min="3" max="3" width="18.0"/>
    <col customWidth="1" min="4" max="5" width="13.0"/>
    <col customWidth="1" min="6" max="6" width="14.0"/>
    <col customWidth="1" min="7" max="26" width="8.63"/>
  </cols>
  <sheetData>
    <row r="1" ht="24.0" customHeight="1">
      <c r="A1" s="1" t="s">
        <v>2</v>
      </c>
      <c r="B1" s="1" t="s">
        <v>8</v>
      </c>
      <c r="C1" s="1" t="s">
        <v>11</v>
      </c>
      <c r="D1" s="1" t="s">
        <v>14</v>
      </c>
      <c r="E1" s="1" t="s">
        <v>16</v>
      </c>
      <c r="F1" s="1" t="s">
        <v>19</v>
      </c>
    </row>
    <row r="2">
      <c r="A2" s="3" t="s">
        <v>24</v>
      </c>
      <c r="B2" s="3" t="s">
        <v>28</v>
      </c>
      <c r="C2" s="3" t="s">
        <v>32</v>
      </c>
      <c r="D2" s="5">
        <v>145.0</v>
      </c>
      <c r="E2" s="5">
        <v>249.0</v>
      </c>
      <c r="F2" s="3">
        <v>18.0</v>
      </c>
    </row>
    <row r="3">
      <c r="A3" s="3" t="s">
        <v>46</v>
      </c>
      <c r="B3" s="3" t="s">
        <v>48</v>
      </c>
      <c r="C3" s="3" t="s">
        <v>32</v>
      </c>
      <c r="D3" s="5">
        <v>310.0</v>
      </c>
      <c r="E3" s="5">
        <v>525.0</v>
      </c>
      <c r="F3" s="3">
        <v>12.0</v>
      </c>
    </row>
    <row r="4">
      <c r="A4" s="3" t="s">
        <v>57</v>
      </c>
      <c r="B4" s="3" t="s">
        <v>60</v>
      </c>
      <c r="C4" s="3" t="s">
        <v>63</v>
      </c>
      <c r="D4" s="5">
        <v>175.0</v>
      </c>
      <c r="E4" s="5">
        <v>299.0</v>
      </c>
      <c r="F4" s="3">
        <v>20.0</v>
      </c>
    </row>
    <row r="5">
      <c r="A5" s="3" t="s">
        <v>70</v>
      </c>
      <c r="B5" s="3" t="s">
        <v>73</v>
      </c>
      <c r="C5" s="3" t="s">
        <v>63</v>
      </c>
      <c r="D5" s="5">
        <v>42.0</v>
      </c>
      <c r="E5" s="5">
        <v>79.0</v>
      </c>
      <c r="F5" s="3">
        <v>35.0</v>
      </c>
    </row>
    <row r="6">
      <c r="A6" s="3" t="s">
        <v>77</v>
      </c>
      <c r="B6" s="3" t="s">
        <v>79</v>
      </c>
      <c r="C6" s="3" t="s">
        <v>63</v>
      </c>
      <c r="D6" s="5">
        <v>88.0</v>
      </c>
      <c r="E6" s="5">
        <v>149.0</v>
      </c>
      <c r="F6" s="3">
        <v>24.0</v>
      </c>
    </row>
    <row r="7">
      <c r="A7" s="3" t="s">
        <v>82</v>
      </c>
      <c r="B7" s="3" t="s">
        <v>84</v>
      </c>
      <c r="C7" s="3" t="s">
        <v>94</v>
      </c>
      <c r="D7" s="5">
        <v>24.0</v>
      </c>
      <c r="E7" s="5">
        <v>49.0</v>
      </c>
      <c r="F7" s="3">
        <v>30.0</v>
      </c>
    </row>
    <row r="8">
      <c r="A8" s="3" t="s">
        <v>100</v>
      </c>
      <c r="B8" s="3" t="s">
        <v>103</v>
      </c>
      <c r="C8" s="3" t="s">
        <v>94</v>
      </c>
      <c r="D8" s="5">
        <v>8.0</v>
      </c>
      <c r="E8" s="5">
        <v>18.0</v>
      </c>
      <c r="F8" s="3">
        <v>60.0</v>
      </c>
    </row>
    <row r="9">
      <c r="A9" s="3" t="s">
        <v>108</v>
      </c>
      <c r="B9" s="3" t="s">
        <v>110</v>
      </c>
      <c r="C9" s="3" t="s">
        <v>94</v>
      </c>
      <c r="D9" s="5">
        <v>120.0</v>
      </c>
      <c r="E9" s="5">
        <v>219.0</v>
      </c>
      <c r="F9" s="3">
        <v>15.0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8.0"/>
    <col customWidth="1" min="3" max="3" width="14.0"/>
    <col customWidth="1" min="4" max="4" width="11.0"/>
    <col customWidth="1" min="5" max="5" width="13.0"/>
    <col customWidth="1" min="6" max="6" width="22.0"/>
    <col customWidth="1" min="7" max="26" width="8.63"/>
  </cols>
  <sheetData>
    <row r="1" ht="24.0" customHeight="1">
      <c r="A1" s="1" t="s">
        <v>4</v>
      </c>
      <c r="B1" s="1" t="s">
        <v>10</v>
      </c>
      <c r="C1" s="1" t="s">
        <v>13</v>
      </c>
      <c r="D1" s="1" t="s">
        <v>12</v>
      </c>
      <c r="E1" s="1" t="s">
        <v>18</v>
      </c>
      <c r="F1" s="1" t="s">
        <v>22</v>
      </c>
    </row>
    <row r="2">
      <c r="A2" s="3" t="s">
        <v>25</v>
      </c>
      <c r="B2" s="3" t="s">
        <v>29</v>
      </c>
      <c r="C2" s="3" t="s">
        <v>31</v>
      </c>
      <c r="D2" s="3" t="s">
        <v>34</v>
      </c>
      <c r="E2" s="6">
        <v>44634.0</v>
      </c>
      <c r="F2" s="3">
        <v>40.0</v>
      </c>
    </row>
    <row r="3">
      <c r="A3" s="3" t="s">
        <v>50</v>
      </c>
      <c r="B3" s="3" t="s">
        <v>51</v>
      </c>
      <c r="C3" s="3" t="s">
        <v>53</v>
      </c>
      <c r="D3" s="3" t="s">
        <v>34</v>
      </c>
      <c r="E3" s="6">
        <v>44935.0</v>
      </c>
      <c r="F3" s="3">
        <v>38.0</v>
      </c>
    </row>
    <row r="4">
      <c r="A4" s="3" t="s">
        <v>58</v>
      </c>
      <c r="B4" s="3" t="s">
        <v>61</v>
      </c>
      <c r="C4" s="3" t="s">
        <v>31</v>
      </c>
      <c r="D4" s="3" t="s">
        <v>64</v>
      </c>
      <c r="E4" s="6">
        <v>44410.0</v>
      </c>
      <c r="F4" s="3">
        <v>40.0</v>
      </c>
    </row>
    <row r="5">
      <c r="A5" s="3" t="s">
        <v>69</v>
      </c>
      <c r="B5" s="3" t="s">
        <v>72</v>
      </c>
      <c r="C5" s="3" t="s">
        <v>53</v>
      </c>
      <c r="D5" s="3" t="s">
        <v>74</v>
      </c>
      <c r="E5" s="6">
        <v>45334.0</v>
      </c>
      <c r="F5" s="3">
        <v>36.0</v>
      </c>
    </row>
    <row r="6">
      <c r="A6" s="3" t="s">
        <v>75</v>
      </c>
      <c r="B6" s="3" t="s">
        <v>76</v>
      </c>
      <c r="C6" s="3" t="s">
        <v>31</v>
      </c>
      <c r="D6" s="3" t="s">
        <v>78</v>
      </c>
      <c r="E6" s="6">
        <v>44872.0</v>
      </c>
      <c r="F6" s="3">
        <v>40.0</v>
      </c>
    </row>
    <row r="7">
      <c r="A7" s="3" t="s">
        <v>80</v>
      </c>
      <c r="B7" s="3" t="s">
        <v>81</v>
      </c>
      <c r="C7" s="3" t="s">
        <v>53</v>
      </c>
      <c r="D7" s="3" t="s">
        <v>64</v>
      </c>
      <c r="E7" s="6">
        <v>45096.0</v>
      </c>
      <c r="F7" s="3">
        <v>35.0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0"/>
    <col customWidth="1" min="2" max="2" width="15.0"/>
    <col customWidth="1" min="3" max="3" width="11.0"/>
    <col customWidth="1" min="4" max="5" width="14.0"/>
    <col customWidth="1" min="6" max="26" width="8.63"/>
  </cols>
  <sheetData>
    <row r="1" ht="24.0" customHeight="1">
      <c r="A1" s="1" t="s">
        <v>2</v>
      </c>
      <c r="B1" s="1" t="s">
        <v>154</v>
      </c>
      <c r="C1" s="1" t="s">
        <v>155</v>
      </c>
      <c r="D1" s="1" t="s">
        <v>19</v>
      </c>
      <c r="E1" s="1" t="s">
        <v>156</v>
      </c>
    </row>
    <row r="2">
      <c r="A2" s="3" t="s">
        <v>24</v>
      </c>
      <c r="B2" s="3" t="s">
        <v>33</v>
      </c>
      <c r="C2" s="3">
        <v>52.0</v>
      </c>
      <c r="D2" s="3">
        <v>18.0</v>
      </c>
      <c r="E2" s="6">
        <v>46025.0</v>
      </c>
    </row>
    <row r="3">
      <c r="A3" s="3" t="s">
        <v>24</v>
      </c>
      <c r="B3" s="3" t="s">
        <v>104</v>
      </c>
      <c r="C3" s="3">
        <v>47.0</v>
      </c>
      <c r="D3" s="3">
        <v>18.0</v>
      </c>
      <c r="E3" s="6">
        <v>46028.0</v>
      </c>
    </row>
    <row r="4">
      <c r="A4" s="3" t="s">
        <v>24</v>
      </c>
      <c r="B4" s="3" t="s">
        <v>125</v>
      </c>
      <c r="C4" s="3">
        <v>42.0</v>
      </c>
      <c r="D4" s="3">
        <v>18.0</v>
      </c>
      <c r="E4" s="6">
        <v>46031.0</v>
      </c>
    </row>
    <row r="5">
      <c r="A5" s="3" t="s">
        <v>46</v>
      </c>
      <c r="B5" s="3" t="s">
        <v>33</v>
      </c>
      <c r="C5" s="3">
        <v>48.0</v>
      </c>
      <c r="D5" s="3">
        <v>12.0</v>
      </c>
      <c r="E5" s="6">
        <v>46026.0</v>
      </c>
    </row>
    <row r="6">
      <c r="A6" s="3" t="s">
        <v>46</v>
      </c>
      <c r="B6" s="3" t="s">
        <v>104</v>
      </c>
      <c r="C6" s="3">
        <v>43.0</v>
      </c>
      <c r="D6" s="3">
        <v>12.0</v>
      </c>
      <c r="E6" s="6">
        <v>46029.0</v>
      </c>
    </row>
    <row r="7">
      <c r="A7" s="3" t="s">
        <v>46</v>
      </c>
      <c r="B7" s="3" t="s">
        <v>125</v>
      </c>
      <c r="C7" s="3">
        <v>38.0</v>
      </c>
      <c r="D7" s="3">
        <v>12.0</v>
      </c>
      <c r="E7" s="6">
        <v>46032.0</v>
      </c>
    </row>
    <row r="8">
      <c r="A8" s="3" t="s">
        <v>57</v>
      </c>
      <c r="B8" s="3" t="s">
        <v>33</v>
      </c>
      <c r="C8" s="3">
        <v>44.0</v>
      </c>
      <c r="D8" s="3">
        <v>20.0</v>
      </c>
      <c r="E8" s="6">
        <v>46027.0</v>
      </c>
    </row>
    <row r="9">
      <c r="A9" s="3" t="s">
        <v>57</v>
      </c>
      <c r="B9" s="3" t="s">
        <v>104</v>
      </c>
      <c r="C9" s="3">
        <v>39.0</v>
      </c>
      <c r="D9" s="3">
        <v>20.0</v>
      </c>
      <c r="E9" s="6">
        <v>46030.0</v>
      </c>
    </row>
    <row r="10">
      <c r="A10" s="3" t="s">
        <v>57</v>
      </c>
      <c r="B10" s="3" t="s">
        <v>125</v>
      </c>
      <c r="C10" s="3">
        <v>34.0</v>
      </c>
      <c r="D10" s="3">
        <v>20.0</v>
      </c>
      <c r="E10" s="6">
        <v>46033.0</v>
      </c>
    </row>
    <row r="11">
      <c r="A11" s="3" t="s">
        <v>70</v>
      </c>
      <c r="B11" s="3" t="s">
        <v>33</v>
      </c>
      <c r="C11" s="3">
        <v>40.0</v>
      </c>
      <c r="D11" s="3">
        <v>35.0</v>
      </c>
      <c r="E11" s="6">
        <v>46028.0</v>
      </c>
    </row>
    <row r="12">
      <c r="A12" s="3" t="s">
        <v>70</v>
      </c>
      <c r="B12" s="3" t="s">
        <v>104</v>
      </c>
      <c r="C12" s="3">
        <v>35.0</v>
      </c>
      <c r="D12" s="3">
        <v>35.0</v>
      </c>
      <c r="E12" s="6">
        <v>46031.0</v>
      </c>
    </row>
    <row r="13">
      <c r="A13" s="3" t="s">
        <v>70</v>
      </c>
      <c r="B13" s="3" t="s">
        <v>125</v>
      </c>
      <c r="C13" s="3">
        <v>30.0</v>
      </c>
      <c r="D13" s="3">
        <v>35.0</v>
      </c>
      <c r="E13" s="6">
        <v>46034.0</v>
      </c>
    </row>
    <row r="14">
      <c r="A14" s="3" t="s">
        <v>77</v>
      </c>
      <c r="B14" s="3" t="s">
        <v>33</v>
      </c>
      <c r="C14" s="3">
        <v>36.0</v>
      </c>
      <c r="D14" s="3">
        <v>24.0</v>
      </c>
      <c r="E14" s="6">
        <v>46029.0</v>
      </c>
    </row>
    <row r="15">
      <c r="A15" s="3" t="s">
        <v>77</v>
      </c>
      <c r="B15" s="3" t="s">
        <v>104</v>
      </c>
      <c r="C15" s="3">
        <v>31.0</v>
      </c>
      <c r="D15" s="3">
        <v>24.0</v>
      </c>
      <c r="E15" s="6">
        <v>46032.0</v>
      </c>
    </row>
    <row r="16">
      <c r="A16" s="3" t="s">
        <v>77</v>
      </c>
      <c r="B16" s="3" t="s">
        <v>125</v>
      </c>
      <c r="C16" s="3">
        <v>26.0</v>
      </c>
      <c r="D16" s="3">
        <v>24.0</v>
      </c>
      <c r="E16" s="6">
        <v>46035.0</v>
      </c>
    </row>
    <row r="17">
      <c r="A17" s="3" t="s">
        <v>82</v>
      </c>
      <c r="B17" s="3" t="s">
        <v>33</v>
      </c>
      <c r="C17" s="3">
        <v>32.0</v>
      </c>
      <c r="D17" s="3">
        <v>30.0</v>
      </c>
      <c r="E17" s="6">
        <v>46030.0</v>
      </c>
    </row>
    <row r="18">
      <c r="A18" s="3" t="s">
        <v>82</v>
      </c>
      <c r="B18" s="3" t="s">
        <v>104</v>
      </c>
      <c r="C18" s="3">
        <v>27.0</v>
      </c>
      <c r="D18" s="3">
        <v>30.0</v>
      </c>
      <c r="E18" s="6">
        <v>46033.0</v>
      </c>
    </row>
    <row r="19">
      <c r="A19" s="3" t="s">
        <v>82</v>
      </c>
      <c r="B19" s="3" t="s">
        <v>125</v>
      </c>
      <c r="C19" s="3">
        <v>22.0</v>
      </c>
      <c r="D19" s="3">
        <v>30.0</v>
      </c>
      <c r="E19" s="6">
        <v>46036.0</v>
      </c>
    </row>
    <row r="20">
      <c r="A20" s="3" t="s">
        <v>100</v>
      </c>
      <c r="B20" s="3" t="s">
        <v>33</v>
      </c>
      <c r="C20" s="3">
        <v>28.0</v>
      </c>
      <c r="D20" s="3">
        <v>60.0</v>
      </c>
      <c r="E20" s="6">
        <v>46031.0</v>
      </c>
    </row>
    <row r="21" ht="15.75" customHeight="1">
      <c r="A21" s="3" t="s">
        <v>100</v>
      </c>
      <c r="B21" s="3" t="s">
        <v>104</v>
      </c>
      <c r="C21" s="3">
        <v>23.0</v>
      </c>
      <c r="D21" s="3">
        <v>60.0</v>
      </c>
      <c r="E21" s="6">
        <v>46034.0</v>
      </c>
    </row>
    <row r="22" ht="15.75" customHeight="1">
      <c r="A22" s="3" t="s">
        <v>100</v>
      </c>
      <c r="B22" s="3" t="s">
        <v>125</v>
      </c>
      <c r="C22" s="3">
        <v>18.0</v>
      </c>
      <c r="D22" s="3">
        <v>60.0</v>
      </c>
      <c r="E22" s="6">
        <v>46037.0</v>
      </c>
    </row>
    <row r="23" ht="15.75" customHeight="1">
      <c r="A23" s="3" t="s">
        <v>108</v>
      </c>
      <c r="B23" s="3" t="s">
        <v>33</v>
      </c>
      <c r="C23" s="3">
        <v>24.0</v>
      </c>
      <c r="D23" s="3">
        <v>15.0</v>
      </c>
      <c r="E23" s="6">
        <v>46032.0</v>
      </c>
    </row>
    <row r="24" ht="15.75" customHeight="1">
      <c r="A24" s="3" t="s">
        <v>108</v>
      </c>
      <c r="B24" s="3" t="s">
        <v>104</v>
      </c>
      <c r="C24" s="3">
        <v>19.0</v>
      </c>
      <c r="D24" s="3">
        <v>15.0</v>
      </c>
      <c r="E24" s="6">
        <v>46035.0</v>
      </c>
    </row>
    <row r="25" ht="15.75" customHeight="1">
      <c r="A25" s="3" t="s">
        <v>108</v>
      </c>
      <c r="B25" s="3" t="s">
        <v>125</v>
      </c>
      <c r="C25" s="3">
        <v>14.0</v>
      </c>
      <c r="D25" s="3">
        <v>15.0</v>
      </c>
      <c r="E25" s="6">
        <v>46038.0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0"/>
    <col customWidth="1" min="3" max="3" width="17.0"/>
    <col customWidth="1" min="4" max="4" width="18.0"/>
    <col customWidth="1" min="5" max="26" width="8.63"/>
  </cols>
  <sheetData>
    <row r="1">
      <c r="A1" s="1" t="s">
        <v>12</v>
      </c>
      <c r="B1" s="1" t="s">
        <v>160</v>
      </c>
      <c r="C1" s="1" t="s">
        <v>161</v>
      </c>
      <c r="D1" s="1" t="s">
        <v>5</v>
      </c>
    </row>
    <row r="2">
      <c r="A2" s="12" t="s">
        <v>34</v>
      </c>
      <c r="B2" s="13">
        <v>0.07</v>
      </c>
      <c r="C2" s="12" t="s">
        <v>68</v>
      </c>
      <c r="D2" s="12" t="s">
        <v>31</v>
      </c>
    </row>
    <row r="3">
      <c r="A3" s="12" t="s">
        <v>64</v>
      </c>
      <c r="C3" s="12" t="s">
        <v>144</v>
      </c>
      <c r="D3" s="12" t="s">
        <v>43</v>
      </c>
    </row>
    <row r="4">
      <c r="A4" s="12" t="s">
        <v>74</v>
      </c>
      <c r="C4" s="12" t="s">
        <v>151</v>
      </c>
      <c r="D4" s="12" t="s">
        <v>95</v>
      </c>
    </row>
    <row r="5">
      <c r="A5" s="12" t="s">
        <v>78</v>
      </c>
      <c r="C5" s="12" t="s">
        <v>163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0"/>
    <col customWidth="1" min="2" max="2" width="20.0"/>
    <col customWidth="1" min="3" max="4" width="18.0"/>
    <col customWidth="1" min="5" max="5" width="4.0"/>
    <col customWidth="1" min="6" max="6" width="24.0"/>
    <col customWidth="1" min="7" max="7" width="18.0"/>
    <col customWidth="1" min="8" max="8" width="22.0"/>
    <col customWidth="1" min="9" max="10" width="18.0"/>
    <col customWidth="1" min="11" max="26" width="8.63"/>
  </cols>
  <sheetData>
    <row r="1" ht="30.0" customHeight="1">
      <c r="A1" s="14" t="s">
        <v>164</v>
      </c>
    </row>
    <row r="2">
      <c r="A2" s="15"/>
      <c r="B2" s="15"/>
      <c r="C2" s="15"/>
      <c r="D2" s="15"/>
      <c r="E2" s="15"/>
      <c r="F2" s="15"/>
      <c r="G2" s="15"/>
      <c r="H2" s="16" t="s">
        <v>166</v>
      </c>
      <c r="I2" s="16" t="s">
        <v>167</v>
      </c>
      <c r="J2" s="15"/>
    </row>
    <row r="3">
      <c r="A3" s="16" t="s">
        <v>168</v>
      </c>
      <c r="B3" s="16" t="s">
        <v>169</v>
      </c>
      <c r="C3" s="15"/>
      <c r="D3" s="15"/>
      <c r="E3" s="15"/>
      <c r="F3" s="15"/>
      <c r="G3" s="15"/>
      <c r="H3" s="15" t="s">
        <v>170</v>
      </c>
      <c r="I3" s="17"/>
      <c r="J3" s="15"/>
    </row>
    <row r="4">
      <c r="A4" s="15" t="s">
        <v>172</v>
      </c>
      <c r="B4" s="18" t="s">
        <v>173</v>
      </c>
      <c r="C4" s="15"/>
      <c r="D4" s="15"/>
      <c r="E4" s="15"/>
      <c r="F4" s="15"/>
      <c r="G4" s="15"/>
      <c r="H4" s="15" t="s">
        <v>174</v>
      </c>
      <c r="I4" s="17"/>
      <c r="J4" s="15"/>
    </row>
    <row r="5">
      <c r="A5" s="15"/>
      <c r="B5" s="15"/>
      <c r="C5" s="15"/>
      <c r="D5" s="15"/>
      <c r="E5" s="15"/>
      <c r="F5" s="15"/>
      <c r="G5" s="15"/>
      <c r="H5" s="15" t="s">
        <v>175</v>
      </c>
      <c r="I5" s="15"/>
      <c r="J5" s="15"/>
    </row>
    <row r="6">
      <c r="A6" s="16" t="s">
        <v>176</v>
      </c>
      <c r="B6" s="16" t="s">
        <v>167</v>
      </c>
      <c r="C6" s="15"/>
      <c r="D6" s="15"/>
      <c r="E6" s="15"/>
      <c r="F6" s="15"/>
      <c r="G6" s="15"/>
      <c r="H6" s="15" t="s">
        <v>178</v>
      </c>
      <c r="I6" s="19"/>
      <c r="J6" s="15"/>
    </row>
    <row r="7">
      <c r="A7" s="15" t="s">
        <v>179</v>
      </c>
      <c r="B7" s="17">
        <v>15000.0</v>
      </c>
      <c r="C7" s="15"/>
      <c r="D7" s="15"/>
      <c r="E7" s="15"/>
      <c r="F7" s="15"/>
      <c r="G7" s="15"/>
      <c r="H7" s="15"/>
      <c r="I7" s="15"/>
      <c r="J7" s="15"/>
    </row>
    <row r="8">
      <c r="A8" s="15" t="s">
        <v>180</v>
      </c>
      <c r="B8" s="17"/>
      <c r="C8" s="15"/>
      <c r="D8" s="15"/>
      <c r="E8" s="15"/>
      <c r="F8" s="15"/>
      <c r="G8" s="15"/>
      <c r="H8" s="15"/>
      <c r="I8" s="15"/>
      <c r="J8" s="15"/>
    </row>
    <row r="9">
      <c r="A9" s="15" t="s">
        <v>182</v>
      </c>
      <c r="B9" s="20"/>
      <c r="C9" s="15"/>
      <c r="D9" s="15"/>
      <c r="E9" s="15"/>
      <c r="F9" s="15"/>
      <c r="G9" s="15"/>
      <c r="H9" s="15"/>
      <c r="I9" s="15"/>
      <c r="J9" s="15"/>
    </row>
    <row r="10">
      <c r="A10" s="15" t="s">
        <v>184</v>
      </c>
      <c r="B10" s="17"/>
      <c r="C10" s="15"/>
      <c r="D10" s="15"/>
      <c r="E10" s="15"/>
      <c r="F10" s="15"/>
      <c r="G10" s="15"/>
      <c r="H10" s="15"/>
      <c r="I10" s="15"/>
      <c r="J10" s="15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</row>
    <row r="12">
      <c r="A12" s="16" t="s">
        <v>185</v>
      </c>
      <c r="B12" s="16" t="s">
        <v>167</v>
      </c>
      <c r="C12" s="15"/>
      <c r="D12" s="15"/>
      <c r="E12" s="15"/>
      <c r="F12" s="15"/>
      <c r="G12" s="15"/>
      <c r="H12" s="15"/>
      <c r="I12" s="15"/>
      <c r="J12" s="15"/>
    </row>
    <row r="13">
      <c r="A13" s="15" t="s">
        <v>187</v>
      </c>
      <c r="B13" s="15"/>
      <c r="C13" s="15"/>
      <c r="D13" s="15"/>
      <c r="E13" s="15"/>
      <c r="F13" s="15"/>
      <c r="G13" s="15"/>
      <c r="H13" s="15"/>
      <c r="I13" s="15"/>
      <c r="J13" s="15"/>
    </row>
    <row r="14">
      <c r="A14" s="15" t="s">
        <v>188</v>
      </c>
      <c r="B14" s="15"/>
      <c r="C14" s="15"/>
      <c r="D14" s="15"/>
      <c r="E14" s="15"/>
      <c r="F14" s="15"/>
      <c r="G14" s="15"/>
      <c r="H14" s="15"/>
      <c r="I14" s="15"/>
      <c r="J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</row>
    <row r="17">
      <c r="A17" s="15" t="s">
        <v>191</v>
      </c>
      <c r="B17" s="15"/>
      <c r="C17" s="15"/>
      <c r="D17" s="15"/>
      <c r="E17" s="15"/>
      <c r="F17" s="15"/>
      <c r="G17" s="15"/>
      <c r="H17" s="15"/>
      <c r="I17" s="15"/>
      <c r="J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</row>
    <row r="19">
      <c r="A19" s="16" t="s">
        <v>193</v>
      </c>
      <c r="E19" s="15"/>
      <c r="F19" s="21" t="s">
        <v>194</v>
      </c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</row>
    <row r="21" ht="15.75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</row>
    <row r="22" ht="15.75" customHeight="1">
      <c r="A22" s="15"/>
      <c r="B22" s="15"/>
      <c r="C22" s="15"/>
      <c r="D22" s="15"/>
      <c r="E22" s="15"/>
      <c r="F22" s="15"/>
      <c r="G22" s="15"/>
      <c r="H22" s="15"/>
      <c r="I22" s="15"/>
      <c r="J22" s="15"/>
    </row>
    <row r="23" ht="15.7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</row>
    <row r="24" ht="15.7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</row>
    <row r="25" ht="15.7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</row>
    <row r="26" ht="15.7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</row>
    <row r="27" ht="15.75" customHeight="1">
      <c r="A27" s="16" t="s">
        <v>198</v>
      </c>
      <c r="E27" s="15"/>
      <c r="F27" s="15"/>
      <c r="G27" s="16" t="s">
        <v>199</v>
      </c>
    </row>
    <row r="28" ht="15.7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</row>
    <row r="29" ht="15.7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</row>
    <row r="30" ht="15.7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</row>
    <row r="31" ht="15.7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</row>
    <row r="32" ht="15.7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</row>
    <row r="33" ht="15.7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</row>
    <row r="34" ht="15.7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</row>
    <row r="35" ht="15.7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ht="15.7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ht="15.7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ht="15.7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</row>
    <row r="39" ht="15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</row>
    <row r="40" ht="15.7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</row>
    <row r="41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</row>
    <row r="42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</row>
    <row r="4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</row>
    <row r="44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</row>
    <row r="45" ht="15.75" customHeight="1">
      <c r="A45" s="16" t="s">
        <v>207</v>
      </c>
      <c r="B45" s="16" t="s">
        <v>208</v>
      </c>
      <c r="C45" s="15"/>
      <c r="D45" s="15"/>
      <c r="E45" s="15"/>
      <c r="F45" s="15"/>
      <c r="G45" s="15"/>
      <c r="H45" s="15"/>
      <c r="I45" s="15"/>
      <c r="J45" s="15"/>
    </row>
    <row r="46" ht="15.75" customHeight="1">
      <c r="A46" s="15" t="s">
        <v>209</v>
      </c>
      <c r="B46" s="15"/>
      <c r="C46" s="15"/>
      <c r="D46" s="15"/>
      <c r="E46" s="15"/>
      <c r="F46" s="15"/>
      <c r="G46" s="15"/>
      <c r="H46" s="15"/>
      <c r="I46" s="15"/>
      <c r="J46" s="15"/>
    </row>
    <row r="47" ht="15.75" customHeight="1">
      <c r="A47" s="15" t="s">
        <v>210</v>
      </c>
      <c r="B47" s="15"/>
      <c r="C47" s="15"/>
      <c r="D47" s="15"/>
      <c r="E47" s="15"/>
      <c r="F47" s="15"/>
      <c r="G47" s="15"/>
      <c r="H47" s="15"/>
      <c r="I47" s="15"/>
      <c r="J47" s="15"/>
    </row>
    <row r="48" ht="15.75" customHeight="1">
      <c r="A48" s="15" t="s">
        <v>211</v>
      </c>
      <c r="B48" s="15"/>
      <c r="C48" s="15"/>
      <c r="D48" s="15"/>
      <c r="E48" s="15"/>
      <c r="F48" s="15"/>
      <c r="G48" s="15"/>
      <c r="H48" s="15"/>
      <c r="I48" s="15"/>
      <c r="J48" s="15"/>
    </row>
    <row r="49" ht="15.75" customHeight="1">
      <c r="A49" s="15" t="s">
        <v>212</v>
      </c>
      <c r="B49" s="15"/>
      <c r="C49" s="15"/>
      <c r="D49" s="15"/>
      <c r="E49" s="15"/>
      <c r="F49" s="15"/>
      <c r="G49" s="15"/>
      <c r="H49" s="15"/>
      <c r="I49" s="15"/>
      <c r="J49" s="15"/>
    </row>
    <row r="50" ht="15.75" customHeight="1">
      <c r="A50" s="15" t="s">
        <v>213</v>
      </c>
      <c r="B50" s="15"/>
      <c r="C50" s="15"/>
      <c r="D50" s="15"/>
      <c r="E50" s="15"/>
      <c r="F50" s="15"/>
      <c r="G50" s="15"/>
      <c r="H50" s="15"/>
      <c r="I50" s="15"/>
      <c r="J50" s="15"/>
    </row>
    <row r="51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</row>
    <row r="52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J1"/>
    <mergeCell ref="A19:D19"/>
    <mergeCell ref="F19:J19"/>
    <mergeCell ref="A27:D27"/>
    <mergeCell ref="G27:J27"/>
  </mergeCells>
  <printOptions/>
  <pageMargins bottom="0.75" footer="0.0" header="0.0" left="0.7" right="0.7" top="0.75"/>
  <pageSetup orientation="landscape"/>
  <drawing r:id="rId1"/>
</worksheet>
</file>